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01\Desktop\"/>
    </mc:Choice>
  </mc:AlternateContent>
  <xr:revisionPtr revIDLastSave="0" documentId="8_{0EA977BB-C5FC-491A-84EE-A51B269FDEF3}" xr6:coauthVersionLast="47" xr6:coauthVersionMax="47" xr10:uidLastSave="{00000000-0000-0000-0000-000000000000}"/>
  <bookViews>
    <workbookView xWindow="-120" yWindow="-120" windowWidth="29040" windowHeight="15840" xr2:uid="{2924AD8A-138F-47FF-BC08-B557A59F0FF3}"/>
  </bookViews>
  <sheets>
    <sheet name="請求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H40" i="1"/>
  <c r="H38" i="1"/>
  <c r="E40" i="1" l="1"/>
  <c r="E42" i="1" s="1"/>
  <c r="H42" i="1" s="1"/>
  <c r="B17" i="1" s="1"/>
</calcChain>
</file>

<file path=xl/sharedStrings.xml><?xml version="1.0" encoding="utf-8"?>
<sst xmlns="http://schemas.openxmlformats.org/spreadsheetml/2006/main" count="33" uniqueCount="33">
  <si>
    <t>請 求 書</t>
    <phoneticPr fontId="6"/>
  </si>
  <si>
    <t>株式会社Ｂeｰkan</t>
    <rPh sb="0" eb="4">
      <t>カブシキガイシャ</t>
    </rPh>
    <phoneticPr fontId="6"/>
  </si>
  <si>
    <t>〒106-0041</t>
    <phoneticPr fontId="6"/>
  </si>
  <si>
    <t>東京都港区麻布台1ｰ9-10飯倉ITビル10Ｆ</t>
    <rPh sb="3" eb="4">
      <t>ミナト</t>
    </rPh>
    <rPh sb="5" eb="8">
      <t>アザブダイ</t>
    </rPh>
    <rPh sb="14" eb="16">
      <t>イイクラ</t>
    </rPh>
    <phoneticPr fontId="6"/>
  </si>
  <si>
    <t>下記の通りご請求申し上げます。</t>
  </si>
  <si>
    <t>TEL : 03-6230-9968</t>
    <phoneticPr fontId="6"/>
  </si>
  <si>
    <t>FAX : 03-6230-9986</t>
    <phoneticPr fontId="6"/>
  </si>
  <si>
    <t>Mail : m.mi@be-kan.co.jp</t>
    <phoneticPr fontId="6"/>
  </si>
  <si>
    <t>件名</t>
    <rPh sb="0" eb="2">
      <t>ケンメイ</t>
    </rPh>
    <phoneticPr fontId="6"/>
  </si>
  <si>
    <t>登録番号：T7010401181209</t>
    <rPh sb="0" eb="2">
      <t>トウロク</t>
    </rPh>
    <rPh sb="2" eb="4">
      <t>バンゴウ</t>
    </rPh>
    <phoneticPr fontId="6"/>
  </si>
  <si>
    <t>御請求金額 (税込)</t>
    <rPh sb="0" eb="1">
      <t>ゴ</t>
    </rPh>
    <rPh sb="7" eb="9">
      <t>ゼイコ</t>
    </rPh>
    <phoneticPr fontId="6"/>
  </si>
  <si>
    <t>お支払い期限</t>
    <rPh sb="1" eb="3">
      <t>シハラ</t>
    </rPh>
    <rPh sb="4" eb="6">
      <t>キゲン</t>
    </rPh>
    <phoneticPr fontId="6"/>
  </si>
  <si>
    <t>※「8%」…軽減税率項目、「非」…非課税項目</t>
    <rPh sb="6" eb="10">
      <t>ケイゲンゼイリツ</t>
    </rPh>
    <rPh sb="10" eb="12">
      <t>コウモク</t>
    </rPh>
    <rPh sb="14" eb="15">
      <t>ヒ</t>
    </rPh>
    <rPh sb="17" eb="20">
      <t>ヒカゼイ</t>
    </rPh>
    <rPh sb="20" eb="22">
      <t>コウモク</t>
    </rPh>
    <phoneticPr fontId="6"/>
  </si>
  <si>
    <t>税区分</t>
    <rPh sb="0" eb="3">
      <t>ゼイクブン</t>
    </rPh>
    <phoneticPr fontId="6"/>
  </si>
  <si>
    <t>品番</t>
    <rPh sb="0" eb="2">
      <t>ヒンバン</t>
    </rPh>
    <phoneticPr fontId="6"/>
  </si>
  <si>
    <t>品名・品番</t>
  </si>
  <si>
    <t>数量</t>
  </si>
  <si>
    <t>単位</t>
  </si>
  <si>
    <t>単価</t>
  </si>
  <si>
    <t>小計</t>
  </si>
  <si>
    <t>備考</t>
    <rPh sb="0" eb="2">
      <t>ビコウ</t>
    </rPh>
    <phoneticPr fontId="6"/>
  </si>
  <si>
    <t>小計</t>
    <rPh sb="0" eb="2">
      <t>ショウケイ</t>
    </rPh>
    <phoneticPr fontId="6"/>
  </si>
  <si>
    <t>8%対象</t>
    <rPh sb="2" eb="4">
      <t>タイショウ</t>
    </rPh>
    <phoneticPr fontId="6"/>
  </si>
  <si>
    <t>10%対象</t>
    <rPh sb="3" eb="5">
      <t>タイショウ</t>
    </rPh>
    <phoneticPr fontId="6"/>
  </si>
  <si>
    <t>非課税</t>
    <rPh sb="0" eb="3">
      <t>ヒカゼイ</t>
    </rPh>
    <phoneticPr fontId="6"/>
  </si>
  <si>
    <t>振込先</t>
    <rPh sb="0" eb="3">
      <t>フリコミサキ</t>
    </rPh>
    <phoneticPr fontId="6"/>
  </si>
  <si>
    <t>横浜銀行　渕野辺支店　普通口座
口座番号 6290640　株式会社Ｂe-kan 　　　　　　　　　カブシキカイシャ ビーカン　　　　　　　　　　　　　　　※お振込み手数料はご負担願います。</t>
    <rPh sb="0" eb="2">
      <t>ヨコハマ</t>
    </rPh>
    <rPh sb="5" eb="8">
      <t>フチノベ</t>
    </rPh>
    <rPh sb="79" eb="81">
      <t>フリコ</t>
    </rPh>
    <rPh sb="82" eb="85">
      <t>テスウリョウ</t>
    </rPh>
    <rPh sb="87" eb="89">
      <t>フタン</t>
    </rPh>
    <rPh sb="89" eb="90">
      <t>ネガ</t>
    </rPh>
    <phoneticPr fontId="6"/>
  </si>
  <si>
    <t>消費税(8%)</t>
    <rPh sb="0" eb="3">
      <t>ショウヒゼイ</t>
    </rPh>
    <phoneticPr fontId="6"/>
  </si>
  <si>
    <t>消費税(10%)</t>
    <rPh sb="0" eb="3">
      <t>ショウヒゼイ</t>
    </rPh>
    <phoneticPr fontId="6"/>
  </si>
  <si>
    <t>合計</t>
    <rPh sb="0" eb="2">
      <t>ゴウケイ</t>
    </rPh>
    <phoneticPr fontId="6"/>
  </si>
  <si>
    <t>　　　　　　　　　　　　 御中</t>
    <rPh sb="13" eb="15">
      <t>オンチュウ</t>
    </rPh>
    <phoneticPr fontId="6"/>
  </si>
  <si>
    <t>請求日 　　年　　月　　日</t>
    <rPh sb="0" eb="3">
      <t>セイキュウヒ</t>
    </rPh>
    <rPh sb="6" eb="7">
      <t>ネン</t>
    </rPh>
    <rPh sb="9" eb="10">
      <t>ツキ</t>
    </rPh>
    <rPh sb="12" eb="13">
      <t>ヒ</t>
    </rPh>
    <phoneticPr fontId="6"/>
  </si>
  <si>
    <t xml:space="preserve">請求番号 </t>
    <rPh sb="0" eb="4">
      <t>セイキュウバンゴウ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</si>
</sst>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¥&quot;#,##0;[Red]&quot;¥&quot;\-#,##0"/>
    <numFmt numFmtId="176" formatCode="0_);[Red]\(0\)"/>
    <numFmt numFmtId="177" formatCode="[$￥-411]#,##0;[Red]\-[$￥-411]#,##0"/>
    <numFmt numFmtId="178" formatCode="0_ "/>
    <numFmt numFmtId="179" formatCode="m/d;@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20"/>
      <color rgb="FFFFFFFF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2"/>
      <name val="メイリオ"/>
      <family val="3"/>
      <charset val="128"/>
    </font>
    <font>
      <b/>
      <sz val="10"/>
      <name val="メイリオ"/>
      <family val="3"/>
      <charset val="128"/>
    </font>
    <font>
      <b/>
      <sz val="11"/>
      <name val="メイリオ"/>
      <family val="3"/>
      <charset val="128"/>
    </font>
    <font>
      <sz val="10"/>
      <name val="游ゴシック"/>
      <family val="3"/>
      <charset val="128"/>
      <scheme val="minor"/>
    </font>
    <font>
      <b/>
      <sz val="20"/>
      <name val="メイリオ"/>
      <family val="3"/>
      <charset val="128"/>
    </font>
    <font>
      <b/>
      <sz val="16"/>
      <name val="メイリオ"/>
      <family val="3"/>
      <charset val="128"/>
    </font>
    <font>
      <b/>
      <sz val="14"/>
      <name val="メイリオ"/>
      <family val="3"/>
      <charset val="128"/>
    </font>
    <font>
      <b/>
      <sz val="6"/>
      <name val="メイリオ"/>
      <family val="3"/>
      <charset val="128"/>
    </font>
    <font>
      <b/>
      <sz val="12"/>
      <color rgb="FFFFFFFF"/>
      <name val="メイリオ"/>
      <family val="3"/>
      <charset val="128"/>
    </font>
    <font>
      <sz val="11"/>
      <name val="メイリオ"/>
      <family val="3"/>
      <charset val="128"/>
    </font>
    <font>
      <sz val="12"/>
      <name val="メイリオ"/>
      <family val="3"/>
      <charset val="128"/>
    </font>
    <font>
      <b/>
      <sz val="14"/>
      <color theme="0"/>
      <name val="メイリオ"/>
      <family val="3"/>
      <charset val="128"/>
    </font>
    <font>
      <sz val="14"/>
      <name val="メイリオ"/>
      <family val="3"/>
      <charset val="128"/>
    </font>
    <font>
      <sz val="12"/>
      <name val="MS PGothic"/>
      <family val="2"/>
      <charset val="1"/>
    </font>
    <font>
      <b/>
      <sz val="12"/>
      <color theme="0"/>
      <name val="メイリオ"/>
      <family val="3"/>
      <charset val="128"/>
    </font>
    <font>
      <sz val="12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FF99CC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3" fillId="0" borderId="0" xfId="0" applyFont="1" applyAlignment="1" applyProtection="1">
      <protection locked="0"/>
    </xf>
    <xf numFmtId="0" fontId="4" fillId="0" borderId="0" xfId="0" applyFont="1" applyAlignment="1" applyProtection="1">
      <protection locked="0"/>
    </xf>
    <xf numFmtId="38" fontId="0" fillId="0" borderId="0" xfId="1" applyFont="1" applyAlignment="1">
      <alignment vertical="center"/>
    </xf>
    <xf numFmtId="0" fontId="0" fillId="0" borderId="0" xfId="0" applyAlignment="1"/>
    <xf numFmtId="0" fontId="5" fillId="2" borderId="0" xfId="0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protection locked="0"/>
    </xf>
    <xf numFmtId="176" fontId="7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2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 vertical="center" indent="1"/>
      <protection locked="0"/>
    </xf>
    <xf numFmtId="0" fontId="10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protection locked="0"/>
    </xf>
    <xf numFmtId="6" fontId="11" fillId="0" borderId="3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protection locked="0"/>
    </xf>
    <xf numFmtId="0" fontId="15" fillId="2" borderId="3" xfId="0" applyFont="1" applyFill="1" applyBorder="1" applyAlignment="1" applyProtection="1">
      <alignment horizontal="center" vertical="center"/>
      <protection locked="0"/>
    </xf>
    <xf numFmtId="9" fontId="17" fillId="0" borderId="3" xfId="0" applyNumberFormat="1" applyFont="1" applyBorder="1" applyAlignment="1" applyProtection="1">
      <alignment horizontal="center" vertical="center" shrinkToFi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left" vertical="center" wrapText="1" shrinkToFit="1"/>
      <protection locked="0"/>
    </xf>
    <xf numFmtId="38" fontId="17" fillId="0" borderId="3" xfId="1" applyFont="1" applyBorder="1" applyAlignment="1" applyProtection="1">
      <alignment horizontal="center" vertical="center" shrinkToFit="1"/>
      <protection locked="0"/>
    </xf>
    <xf numFmtId="0" fontId="17" fillId="0" borderId="3" xfId="0" applyFont="1" applyBorder="1" applyAlignment="1" applyProtection="1">
      <alignment horizontal="center" vertical="center" shrinkToFit="1"/>
      <protection locked="0"/>
    </xf>
    <xf numFmtId="177" fontId="17" fillId="0" borderId="3" xfId="0" applyNumberFormat="1" applyFont="1" applyBorder="1" applyAlignment="1" applyProtection="1">
      <alignment horizontal="right" vertical="center" shrinkToFit="1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left" vertical="center" shrinkToFi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178" fontId="16" fillId="0" borderId="3" xfId="0" applyNumberFormat="1" applyFont="1" applyBorder="1" applyAlignment="1" applyProtection="1">
      <alignment horizontal="left" vertical="center" wrapText="1" shrinkToFit="1"/>
      <protection locked="0"/>
    </xf>
    <xf numFmtId="0" fontId="17" fillId="0" borderId="3" xfId="0" applyFont="1" applyBorder="1" applyAlignment="1" applyProtection="1">
      <alignment horizontal="left" vertical="center" wrapText="1" shrinkToFit="1"/>
      <protection locked="0"/>
    </xf>
    <xf numFmtId="179" fontId="16" fillId="0" borderId="3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177" fontId="18" fillId="3" borderId="3" xfId="0" applyNumberFormat="1" applyFont="1" applyFill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left" vertical="center" shrinkToFit="1"/>
      <protection locked="0"/>
    </xf>
    <xf numFmtId="0" fontId="18" fillId="3" borderId="4" xfId="0" applyFont="1" applyFill="1" applyBorder="1" applyAlignment="1" applyProtection="1">
      <alignment horizontal="center" vertical="center"/>
      <protection locked="0"/>
    </xf>
    <xf numFmtId="0" fontId="18" fillId="3" borderId="2" xfId="0" applyFont="1" applyFill="1" applyBorder="1" applyAlignment="1" applyProtection="1">
      <alignment horizontal="center" vertical="center"/>
      <protection locked="0"/>
    </xf>
    <xf numFmtId="0" fontId="18" fillId="3" borderId="5" xfId="0" applyFont="1" applyFill="1" applyBorder="1" applyAlignment="1" applyProtection="1">
      <alignment horizontal="center" vertical="center"/>
      <protection locked="0"/>
    </xf>
    <xf numFmtId="177" fontId="13" fillId="0" borderId="3" xfId="0" applyNumberFormat="1" applyFont="1" applyBorder="1" applyAlignment="1" applyProtection="1">
      <alignment horizontal="right" vertical="center" shrinkToFit="1"/>
      <protection locked="0"/>
    </xf>
    <xf numFmtId="0" fontId="19" fillId="0" borderId="0" xfId="0" applyFont="1">
      <alignment vertical="center"/>
    </xf>
    <xf numFmtId="38" fontId="19" fillId="0" borderId="0" xfId="1" applyFont="1" applyAlignment="1">
      <alignment vertical="center"/>
    </xf>
    <xf numFmtId="0" fontId="19" fillId="0" borderId="0" xfId="0" applyFont="1" applyAlignment="1"/>
    <xf numFmtId="177" fontId="19" fillId="0" borderId="3" xfId="0" applyNumberFormat="1" applyFont="1" applyBorder="1" applyAlignment="1" applyProtection="1">
      <alignment horizontal="left" vertical="center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6" fontId="13" fillId="0" borderId="3" xfId="2" applyFont="1" applyFill="1" applyBorder="1" applyAlignment="1" applyProtection="1">
      <alignment horizontal="center" vertical="center"/>
      <protection locked="0"/>
    </xf>
    <xf numFmtId="6" fontId="13" fillId="0" borderId="3" xfId="2" applyFont="1" applyFill="1" applyBorder="1" applyAlignment="1" applyProtection="1">
      <alignment horizontal="center" vertical="center"/>
      <protection locked="0"/>
    </xf>
    <xf numFmtId="177" fontId="18" fillId="3" borderId="6" xfId="0" applyNumberFormat="1" applyFont="1" applyFill="1" applyBorder="1" applyAlignment="1" applyProtection="1">
      <alignment horizontal="center" vertical="center"/>
      <protection locked="0"/>
    </xf>
    <xf numFmtId="177" fontId="18" fillId="3" borderId="7" xfId="0" applyNumberFormat="1" applyFont="1" applyFill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left" vertical="center" wrapText="1" shrinkToFit="1"/>
      <protection locked="0"/>
    </xf>
    <xf numFmtId="177" fontId="18" fillId="3" borderId="9" xfId="0" applyNumberFormat="1" applyFont="1" applyFill="1" applyBorder="1" applyAlignment="1" applyProtection="1">
      <alignment horizontal="center" vertical="center"/>
      <protection locked="0"/>
    </xf>
    <xf numFmtId="177" fontId="18" fillId="3" borderId="10" xfId="0" applyNumberFormat="1" applyFont="1" applyFill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horizontal="left" vertical="center" wrapText="1" shrinkToFit="1"/>
      <protection locked="0"/>
    </xf>
    <xf numFmtId="0" fontId="20" fillId="0" borderId="0" xfId="0" applyFont="1" applyAlignment="1"/>
    <xf numFmtId="0" fontId="13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/>
      <protection locked="0"/>
    </xf>
    <xf numFmtId="0" fontId="11" fillId="0" borderId="1" xfId="0" applyFont="1" applyBorder="1" applyAlignment="1">
      <alignment horizontal="center"/>
    </xf>
    <xf numFmtId="0" fontId="21" fillId="3" borderId="3" xfId="0" applyFont="1" applyFill="1" applyBorder="1" applyAlignment="1" applyProtection="1">
      <alignment horizontal="center" vertical="center"/>
      <protection locked="0"/>
    </xf>
    <xf numFmtId="0" fontId="17" fillId="0" borderId="0" xfId="0" applyFont="1">
      <alignment vertical="center"/>
    </xf>
    <xf numFmtId="38" fontId="17" fillId="0" borderId="0" xfId="1" applyFont="1" applyAlignment="1">
      <alignment vertical="center"/>
    </xf>
    <xf numFmtId="0" fontId="17" fillId="0" borderId="0" xfId="0" applyFont="1" applyAlignment="1"/>
    <xf numFmtId="0" fontId="15" fillId="2" borderId="3" xfId="0" applyFont="1" applyFill="1" applyBorder="1" applyAlignment="1" applyProtection="1">
      <alignment horizontal="center" vertical="center"/>
      <protection locked="0"/>
    </xf>
    <xf numFmtId="0" fontId="15" fillId="2" borderId="3" xfId="0" applyFont="1" applyFill="1" applyBorder="1" applyAlignment="1" applyProtection="1">
      <alignment horizontal="center" vertical="center" shrinkToFit="1"/>
      <protection locked="0"/>
    </xf>
    <xf numFmtId="0" fontId="22" fillId="0" borderId="0" xfId="0" applyFont="1">
      <alignment vertical="center"/>
    </xf>
    <xf numFmtId="38" fontId="22" fillId="0" borderId="0" xfId="1" applyFont="1" applyAlignment="1">
      <alignment vertical="center"/>
    </xf>
    <xf numFmtId="0" fontId="22" fillId="0" borderId="0" xfId="0" applyFont="1" applyAlignment="1"/>
    <xf numFmtId="14" fontId="13" fillId="0" borderId="3" xfId="0" applyNumberFormat="1" applyFont="1" applyBorder="1" applyAlignment="1" applyProtection="1">
      <alignment horizontal="center" vertical="center"/>
      <protection locked="0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4BF9-D722-4BA1-9708-E37286C5AAF1}">
  <dimension ref="B1:J43"/>
  <sheetViews>
    <sheetView tabSelected="1" topLeftCell="A27" workbookViewId="0">
      <selection activeCell="I31" sqref="I31"/>
    </sheetView>
  </sheetViews>
  <sheetFormatPr defaultRowHeight="18.75"/>
  <cols>
    <col min="1" max="1" width="9" style="4"/>
    <col min="2" max="2" width="10.75" style="4" customWidth="1"/>
    <col min="3" max="3" width="11.875" style="4" customWidth="1"/>
    <col min="4" max="4" width="44.875" style="66" customWidth="1"/>
    <col min="5" max="5" width="10.25" style="66" customWidth="1"/>
    <col min="6" max="6" width="8.5" style="66" customWidth="1"/>
    <col min="7" max="7" width="19.125" style="66" customWidth="1"/>
    <col min="8" max="8" width="26.25" style="4" customWidth="1"/>
    <col min="10" max="10" width="8.75" style="3" bestFit="1" customWidth="1"/>
    <col min="11" max="16384" width="9" style="4"/>
  </cols>
  <sheetData>
    <row r="1" spans="2:10" ht="21.75" customHeight="1">
      <c r="B1" s="1"/>
      <c r="C1" s="1"/>
      <c r="D1" s="2"/>
      <c r="E1" s="2"/>
      <c r="F1" s="2"/>
      <c r="G1" s="2"/>
      <c r="H1" s="1"/>
    </row>
    <row r="2" spans="2:10" ht="33">
      <c r="B2" s="5" t="s">
        <v>0</v>
      </c>
      <c r="C2" s="5"/>
      <c r="D2" s="5"/>
      <c r="E2" s="5"/>
      <c r="F2" s="5"/>
      <c r="G2" s="5"/>
      <c r="H2" s="5"/>
    </row>
    <row r="3" spans="2:10" ht="18" customHeight="1">
      <c r="B3" s="1"/>
      <c r="C3" s="1"/>
      <c r="D3" s="2"/>
      <c r="E3" s="2"/>
      <c r="F3" s="2"/>
      <c r="G3" s="2"/>
      <c r="H3" s="1"/>
    </row>
    <row r="4" spans="2:10" ht="23.25" customHeight="1">
      <c r="B4" s="1"/>
      <c r="C4" s="1"/>
      <c r="D4" s="2"/>
      <c r="E4" s="6"/>
      <c r="F4" s="6"/>
      <c r="G4" s="7"/>
      <c r="H4" s="68" t="s">
        <v>31</v>
      </c>
    </row>
    <row r="5" spans="2:10" ht="23.25" customHeight="1">
      <c r="B5" s="8"/>
      <c r="C5" s="8"/>
      <c r="D5" s="8"/>
      <c r="E5" s="9"/>
      <c r="F5" s="9"/>
      <c r="G5" s="7"/>
      <c r="H5" s="68" t="s">
        <v>32</v>
      </c>
    </row>
    <row r="6" spans="2:10" ht="23.25" customHeight="1">
      <c r="B6" s="8"/>
      <c r="C6" s="8"/>
      <c r="D6" s="8"/>
      <c r="E6" s="6"/>
      <c r="F6" s="6"/>
      <c r="G6" s="10"/>
      <c r="H6" s="10"/>
    </row>
    <row r="7" spans="2:10" ht="18" customHeight="1">
      <c r="B7" s="1"/>
      <c r="C7" s="11"/>
      <c r="D7" s="11"/>
      <c r="E7" s="2"/>
      <c r="F7" s="2"/>
      <c r="G7" s="2"/>
      <c r="H7" s="1"/>
    </row>
    <row r="8" spans="2:10" ht="28.5" customHeight="1">
      <c r="B8" s="12"/>
      <c r="C8" s="69" t="s">
        <v>30</v>
      </c>
      <c r="D8" s="69"/>
      <c r="E8" s="2"/>
      <c r="F8" s="13" t="s">
        <v>1</v>
      </c>
      <c r="G8" s="13"/>
      <c r="H8" s="13"/>
    </row>
    <row r="9" spans="2:10" ht="27.75" customHeight="1">
      <c r="B9" s="12"/>
      <c r="C9" s="14"/>
      <c r="D9" s="14"/>
      <c r="E9" s="2"/>
      <c r="F9" s="15" t="s">
        <v>2</v>
      </c>
      <c r="G9" s="15"/>
      <c r="H9" s="15"/>
    </row>
    <row r="10" spans="2:10" ht="24" customHeight="1">
      <c r="B10" s="1"/>
      <c r="C10" s="16"/>
      <c r="D10" s="17"/>
      <c r="E10" s="2"/>
      <c r="F10" s="67" t="s">
        <v>3</v>
      </c>
      <c r="G10" s="67"/>
      <c r="H10" s="67"/>
    </row>
    <row r="11" spans="2:10" ht="24" customHeight="1">
      <c r="B11" s="1"/>
      <c r="C11" s="18" t="s">
        <v>4</v>
      </c>
      <c r="D11" s="18"/>
      <c r="E11" s="2"/>
      <c r="F11" s="67" t="s">
        <v>5</v>
      </c>
      <c r="G11" s="67"/>
      <c r="H11" s="67"/>
    </row>
    <row r="12" spans="2:10" ht="24" customHeight="1">
      <c r="B12" s="1"/>
      <c r="C12" s="1"/>
      <c r="D12" s="2"/>
      <c r="E12" s="2"/>
      <c r="F12" s="67" t="s">
        <v>6</v>
      </c>
      <c r="G12" s="67"/>
      <c r="H12" s="67"/>
    </row>
    <row r="13" spans="2:10" ht="24" customHeight="1">
      <c r="B13" s="1"/>
      <c r="C13" s="1"/>
      <c r="D13" s="2"/>
      <c r="E13" s="2"/>
      <c r="F13" s="67" t="s">
        <v>7</v>
      </c>
      <c r="G13" s="67"/>
      <c r="H13" s="67"/>
    </row>
    <row r="14" spans="2:10" ht="24" customHeight="1">
      <c r="B14" s="1"/>
      <c r="C14" s="19" t="s">
        <v>8</v>
      </c>
      <c r="D14" s="20"/>
      <c r="E14" s="2"/>
      <c r="F14" s="67" t="s">
        <v>9</v>
      </c>
      <c r="G14" s="67"/>
      <c r="H14" s="67"/>
    </row>
    <row r="15" spans="2:10" ht="18.75" customHeight="1">
      <c r="B15" s="1"/>
      <c r="C15" s="1"/>
      <c r="D15" s="2"/>
      <c r="E15" s="2"/>
      <c r="F15" s="21"/>
      <c r="G15" s="21"/>
      <c r="H15" s="22"/>
    </row>
    <row r="16" spans="2:10" s="78" customFormat="1" ht="26.25" customHeight="1">
      <c r="B16" s="74" t="s">
        <v>10</v>
      </c>
      <c r="C16" s="74"/>
      <c r="D16" s="74"/>
      <c r="E16" s="75" t="s">
        <v>11</v>
      </c>
      <c r="F16" s="75"/>
      <c r="G16" s="9"/>
      <c r="H16" s="9"/>
      <c r="I16" s="76"/>
      <c r="J16" s="77"/>
    </row>
    <row r="17" spans="2:10" ht="18" customHeight="1">
      <c r="B17" s="24">
        <f>H42</f>
        <v>0</v>
      </c>
      <c r="C17" s="25"/>
      <c r="D17" s="25"/>
      <c r="E17" s="79"/>
      <c r="F17" s="79"/>
      <c r="G17" s="26"/>
      <c r="H17" s="27"/>
    </row>
    <row r="18" spans="2:10" ht="18" customHeight="1">
      <c r="B18" s="25"/>
      <c r="C18" s="25"/>
      <c r="D18" s="25"/>
      <c r="E18" s="79"/>
      <c r="F18" s="79"/>
      <c r="G18" s="26"/>
      <c r="H18" s="28"/>
    </row>
    <row r="19" spans="2:10" ht="21" customHeight="1">
      <c r="B19" s="23"/>
      <c r="C19" s="23"/>
      <c r="D19" s="9"/>
      <c r="E19" s="9"/>
      <c r="F19" s="29"/>
      <c r="G19" s="9"/>
      <c r="H19" s="23"/>
    </row>
    <row r="20" spans="2:10" ht="21" customHeight="1">
      <c r="B20" s="30" t="s">
        <v>12</v>
      </c>
      <c r="C20" s="23"/>
      <c r="D20" s="9"/>
      <c r="E20" s="9"/>
      <c r="F20" s="9"/>
      <c r="G20" s="9"/>
      <c r="H20" s="23"/>
    </row>
    <row r="21" spans="2:10" s="73" customFormat="1" ht="31.5" customHeight="1">
      <c r="B21" s="70" t="s">
        <v>13</v>
      </c>
      <c r="C21" s="31" t="s">
        <v>14</v>
      </c>
      <c r="D21" s="31" t="s">
        <v>15</v>
      </c>
      <c r="E21" s="31" t="s">
        <v>16</v>
      </c>
      <c r="F21" s="31" t="s">
        <v>17</v>
      </c>
      <c r="G21" s="31" t="s">
        <v>18</v>
      </c>
      <c r="H21" s="31" t="s">
        <v>19</v>
      </c>
      <c r="I21" s="71"/>
      <c r="J21" s="72"/>
    </row>
    <row r="22" spans="2:10" ht="36" customHeight="1">
      <c r="B22" s="32"/>
      <c r="C22" s="33"/>
      <c r="D22" s="34"/>
      <c r="E22" s="35"/>
      <c r="F22" s="36"/>
      <c r="G22" s="37"/>
      <c r="H22" s="37"/>
      <c r="I22" s="3"/>
    </row>
    <row r="23" spans="2:10" ht="36" customHeight="1">
      <c r="B23" s="32"/>
      <c r="C23" s="38"/>
      <c r="D23" s="39"/>
      <c r="E23" s="36"/>
      <c r="F23" s="36"/>
      <c r="G23" s="37"/>
      <c r="H23" s="37"/>
    </row>
    <row r="24" spans="2:10" ht="36" customHeight="1">
      <c r="B24" s="32"/>
      <c r="C24" s="33"/>
      <c r="D24" s="39"/>
      <c r="E24" s="36"/>
      <c r="F24" s="36"/>
      <c r="G24" s="37"/>
      <c r="H24" s="37"/>
    </row>
    <row r="25" spans="2:10" ht="36" customHeight="1">
      <c r="B25" s="32"/>
      <c r="C25" s="40"/>
      <c r="D25" s="39"/>
      <c r="E25" s="36"/>
      <c r="F25" s="36"/>
      <c r="G25" s="37"/>
      <c r="H25" s="37"/>
    </row>
    <row r="26" spans="2:10" ht="36" customHeight="1">
      <c r="B26" s="32"/>
      <c r="C26" s="33"/>
      <c r="D26" s="39"/>
      <c r="E26" s="36"/>
      <c r="F26" s="36"/>
      <c r="G26" s="37"/>
      <c r="H26" s="37"/>
    </row>
    <row r="27" spans="2:10" ht="36" customHeight="1">
      <c r="B27" s="32"/>
      <c r="C27" s="33"/>
      <c r="D27" s="41"/>
      <c r="E27" s="36"/>
      <c r="F27" s="36"/>
      <c r="G27" s="37"/>
      <c r="H27" s="37"/>
    </row>
    <row r="28" spans="2:10" ht="36" customHeight="1">
      <c r="B28" s="32"/>
      <c r="C28" s="33"/>
      <c r="D28" s="41"/>
      <c r="E28" s="36"/>
      <c r="F28" s="36"/>
      <c r="G28" s="37"/>
      <c r="H28" s="37"/>
    </row>
    <row r="29" spans="2:10" ht="36" customHeight="1">
      <c r="B29" s="32"/>
      <c r="C29" s="33"/>
      <c r="D29" s="42"/>
      <c r="E29" s="36"/>
      <c r="F29" s="36"/>
      <c r="G29" s="37"/>
      <c r="H29" s="37"/>
    </row>
    <row r="30" spans="2:10" ht="36" customHeight="1">
      <c r="B30" s="32"/>
      <c r="C30" s="43"/>
      <c r="D30" s="42"/>
      <c r="E30" s="36"/>
      <c r="F30" s="36"/>
      <c r="G30" s="37"/>
      <c r="H30" s="37"/>
    </row>
    <row r="31" spans="2:10" ht="36" customHeight="1">
      <c r="B31" s="32"/>
      <c r="C31" s="43"/>
      <c r="D31" s="44"/>
      <c r="E31" s="36"/>
      <c r="F31" s="36"/>
      <c r="G31" s="37"/>
      <c r="H31" s="37"/>
    </row>
    <row r="32" spans="2:10" ht="36" customHeight="1">
      <c r="B32" s="32"/>
      <c r="C32" s="43"/>
      <c r="D32" s="45"/>
      <c r="E32" s="36"/>
      <c r="F32" s="36"/>
      <c r="G32" s="37"/>
      <c r="H32" s="37"/>
    </row>
    <row r="33" spans="2:10" ht="36" customHeight="1">
      <c r="B33" s="32"/>
      <c r="C33" s="43"/>
      <c r="D33" s="45"/>
      <c r="E33" s="36"/>
      <c r="F33" s="36"/>
      <c r="G33" s="37"/>
      <c r="H33" s="37"/>
    </row>
    <row r="34" spans="2:10" ht="36" customHeight="1">
      <c r="B34" s="32"/>
      <c r="C34" s="43"/>
      <c r="D34" s="45"/>
      <c r="E34" s="36"/>
      <c r="F34" s="36"/>
      <c r="G34" s="37"/>
      <c r="H34" s="37"/>
    </row>
    <row r="35" spans="2:10" ht="36" customHeight="1">
      <c r="B35" s="32"/>
      <c r="C35" s="43"/>
      <c r="D35" s="42"/>
      <c r="E35" s="36"/>
      <c r="F35" s="36"/>
      <c r="G35" s="37"/>
      <c r="H35" s="37"/>
    </row>
    <row r="36" spans="2:10" ht="36" customHeight="1">
      <c r="B36" s="32"/>
      <c r="C36" s="43"/>
      <c r="D36" s="42"/>
      <c r="E36" s="36"/>
      <c r="F36" s="36"/>
      <c r="G36" s="37"/>
      <c r="H36" s="37"/>
    </row>
    <row r="37" spans="2:10" ht="36" customHeight="1">
      <c r="B37" s="32"/>
      <c r="C37" s="43"/>
      <c r="D37" s="42"/>
      <c r="E37" s="36"/>
      <c r="F37" s="36"/>
      <c r="G37" s="37"/>
      <c r="H37" s="37"/>
    </row>
    <row r="38" spans="2:10" s="54" customFormat="1" ht="33.75" customHeight="1">
      <c r="B38" s="46" t="s">
        <v>20</v>
      </c>
      <c r="C38" s="46"/>
      <c r="D38" s="47"/>
      <c r="E38" s="48" t="s">
        <v>21</v>
      </c>
      <c r="F38" s="49"/>
      <c r="G38" s="50"/>
      <c r="H38" s="51">
        <f>SUM(H22:H37)</f>
        <v>0</v>
      </c>
      <c r="I38" s="52"/>
      <c r="J38" s="53"/>
    </row>
    <row r="39" spans="2:10" s="54" customFormat="1" ht="28.5" customHeight="1">
      <c r="B39" s="55"/>
      <c r="C39" s="55"/>
      <c r="D39" s="55"/>
      <c r="E39" s="56" t="s">
        <v>22</v>
      </c>
      <c r="F39" s="56"/>
      <c r="G39" s="57" t="s">
        <v>23</v>
      </c>
      <c r="H39" s="57" t="s">
        <v>24</v>
      </c>
      <c r="I39" s="52"/>
      <c r="J39" s="53"/>
    </row>
    <row r="40" spans="2:10" s="54" customFormat="1" ht="35.25" customHeight="1">
      <c r="B40" s="55"/>
      <c r="C40" s="55"/>
      <c r="D40" s="55"/>
      <c r="E40" s="58">
        <f>SUM(H38)</f>
        <v>0</v>
      </c>
      <c r="F40" s="58"/>
      <c r="G40" s="59">
        <v>0</v>
      </c>
      <c r="H40" s="59">
        <f>SUMIF(B22:B37,"非",H22:H37)</f>
        <v>0</v>
      </c>
      <c r="I40" s="52"/>
      <c r="J40" s="53"/>
    </row>
    <row r="41" spans="2:10" s="54" customFormat="1" ht="41.25" customHeight="1">
      <c r="B41" s="60" t="s">
        <v>25</v>
      </c>
      <c r="C41" s="61"/>
      <c r="D41" s="62" t="s">
        <v>26</v>
      </c>
      <c r="E41" s="56" t="s">
        <v>27</v>
      </c>
      <c r="F41" s="56"/>
      <c r="G41" s="57" t="s">
        <v>28</v>
      </c>
      <c r="H41" s="57" t="s">
        <v>29</v>
      </c>
      <c r="I41" s="52"/>
      <c r="J41" s="53"/>
    </row>
    <row r="42" spans="2:10" s="54" customFormat="1" ht="41.25" customHeight="1">
      <c r="B42" s="63"/>
      <c r="C42" s="64"/>
      <c r="D42" s="65"/>
      <c r="E42" s="58">
        <f>SUM(E40*8%)</f>
        <v>0</v>
      </c>
      <c r="F42" s="58"/>
      <c r="G42" s="59">
        <f>SUM(G40*10%)</f>
        <v>0</v>
      </c>
      <c r="H42" s="59">
        <f>H38+E42+G42</f>
        <v>0</v>
      </c>
      <c r="I42" s="52"/>
      <c r="J42" s="53"/>
    </row>
    <row r="43" spans="2:10" ht="19.5">
      <c r="B43" s="1"/>
      <c r="C43" s="1"/>
      <c r="D43" s="2"/>
      <c r="E43" s="2"/>
      <c r="F43" s="2"/>
      <c r="G43" s="2"/>
      <c r="H43" s="1"/>
    </row>
  </sheetData>
  <mergeCells count="31">
    <mergeCell ref="B40:D40"/>
    <mergeCell ref="E40:F40"/>
    <mergeCell ref="B41:C42"/>
    <mergeCell ref="D41:D42"/>
    <mergeCell ref="E41:F41"/>
    <mergeCell ref="E42:F42"/>
    <mergeCell ref="B17:D18"/>
    <mergeCell ref="E17:F18"/>
    <mergeCell ref="B38:C38"/>
    <mergeCell ref="E38:G38"/>
    <mergeCell ref="B39:D39"/>
    <mergeCell ref="E39:F39"/>
    <mergeCell ref="C11:D11"/>
    <mergeCell ref="F11:H11"/>
    <mergeCell ref="F12:H12"/>
    <mergeCell ref="F13:H13"/>
    <mergeCell ref="F14:H14"/>
    <mergeCell ref="B16:D16"/>
    <mergeCell ref="E16:F16"/>
    <mergeCell ref="C7:D7"/>
    <mergeCell ref="C8:D8"/>
    <mergeCell ref="F8:H8"/>
    <mergeCell ref="C9:D9"/>
    <mergeCell ref="F9:H9"/>
    <mergeCell ref="F10:H10"/>
    <mergeCell ref="B2:H2"/>
    <mergeCell ref="E4:F4"/>
    <mergeCell ref="B5:D5"/>
    <mergeCell ref="B6:D6"/>
    <mergeCell ref="E6:F6"/>
    <mergeCell ref="G6:H6"/>
  </mergeCells>
  <phoneticPr fontId="2"/>
  <dataValidations count="1">
    <dataValidation type="list" allowBlank="1" sqref="B22:B37" xr:uid="{B78EFFE3-08FF-485A-8DB0-E36B49F9E7DE}">
      <formula1>"8%,非"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Masakazu Miura</dc:creator>
  <cp:lastModifiedBy>Masakazu Miura</cp:lastModifiedBy>
  <dcterms:created xsi:type="dcterms:W3CDTF">2025-10-17T02:05:02Z</dcterms:created>
  <dcterms:modified xsi:type="dcterms:W3CDTF">2025-10-17T02:09:25Z</dcterms:modified>
</cp:coreProperties>
</file>